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activeTab="1"/>
  </bookViews>
  <sheets>
    <sheet name="单层材料" sheetId="1" r:id="rId1"/>
    <sheet name="带安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<sst xmlns="http://schemas.openxmlformats.org/spreadsheetml/2006/main" count="404" uniqueCount="67">
  <si>
    <t>单 层 材 料 报 价 单</t>
  </si>
  <si>
    <t>报价编号</t>
  </si>
  <si>
    <t>KQ-YYYYMMDD-001</t>
  </si>
  <si>
    <t>报价日期</t>
  </si>
  <si>
    <t>贵州科庆通风设备有限公司</t>
  </si>
  <si>
    <t>报价有效期</t>
  </si>
  <si>
    <t>7天</t>
  </si>
  <si>
    <t>客户名称</t>
  </si>
  <si>
    <t>客户名称（填写）</t>
  </si>
  <si>
    <t>项目名称</t>
  </si>
  <si>
    <t>项目名称（填写）</t>
  </si>
  <si>
    <t>联系人</t>
  </si>
  <si>
    <t>联系人 / 电话</t>
  </si>
  <si>
    <t>交付地点</t>
  </si>
  <si>
    <t>交付地点（填写）</t>
  </si>
  <si>
    <t>报价口径</t>
  </si>
  <si>
    <t>含税；不含运；不含下货；不含安装（按项目修改）</t>
  </si>
  <si>
    <t>付款条件</t>
  </si>
  <si>
    <t>预付30%，发货前付清尾款（按合同修改）</t>
  </si>
  <si>
    <t>报价明细</t>
  </si>
  <si>
    <t>序号</t>
  </si>
  <si>
    <t>产品名称</t>
  </si>
  <si>
    <t>厚度（mm）</t>
  </si>
  <si>
    <t>型号 / 规格</t>
  </si>
  <si>
    <t>法兰 / 工艺</t>
  </si>
  <si>
    <t>单位</t>
  </si>
  <si>
    <t>数量</t>
  </si>
  <si>
    <t>材料单价（元）</t>
  </si>
  <si>
    <t>材料金额（元）</t>
  </si>
  <si>
    <t>备注</t>
  </si>
  <si>
    <t>镀锌钢板风管</t>
  </si>
  <si>
    <t>200×200</t>
  </si>
  <si>
    <t>共板法兰</t>
  </si>
  <si>
    <t>㎡</t>
  </si>
  <si>
    <t>示例：按施工图复核</t>
  </si>
  <si>
    <t>500×320</t>
  </si>
  <si>
    <t/>
  </si>
  <si>
    <t>Φ500</t>
  </si>
  <si>
    <t>圆法兰</t>
  </si>
  <si>
    <t>1000×1000</t>
  </si>
  <si>
    <t>角钢法兰</t>
  </si>
  <si>
    <t>角码</t>
  </si>
  <si>
    <t>标准件</t>
  </si>
  <si>
    <t>共板配件</t>
  </si>
  <si>
    <t>个</t>
  </si>
  <si>
    <t>卡条</t>
  </si>
  <si>
    <t>-</t>
  </si>
  <si>
    <t>米</t>
  </si>
  <si>
    <t>材料小计</t>
  </si>
  <si>
    <t>价税合计</t>
  </si>
  <si>
    <t>人民币大写</t>
  </si>
  <si>
    <t>由报价系统按价税合计自动生成</t>
  </si>
  <si>
    <t>报价说明与商务条款</t>
  </si>
  <si>
    <t>1. 本模板仅计算材料费用，不含安装；税费、运输、下货范围以“报价口径”栏为准。</t>
  </si>
  <si>
    <t>2. 本报价有效期为7天；交货周期在技术条件、规格型号及订单确认后另行确定。</t>
  </si>
  <si>
    <t>3. 付款方式以“付款条件”栏及双方最终合同约定为准。</t>
  </si>
  <si>
    <t>4. 风管面积：标准直管按（长＋宽＋0.04）×2×1.25计算；异形件按实际展开或排版面积计算；小规格、开口及特殊加工费在明细备注中单列。</t>
  </si>
  <si>
    <t>5. 实际供货数量、厚度、型号及工艺以双方确认的图纸、清单或订单为准。</t>
  </si>
  <si>
    <t>材 料 及 安 装 报 价 单</t>
  </si>
  <si>
    <t>含税；含运；含下货；含安装（按项目修改）</t>
  </si>
  <si>
    <t>安装单价（元）</t>
  </si>
  <si>
    <t>安装金额（元）</t>
  </si>
  <si>
    <t>安装小计</t>
  </si>
  <si>
    <t>1. 材料与安装分开计价：材料金额＝数量×材料单价，安装金额＝数量×安装单价；承包范围以“报价口径”栏为准。</t>
  </si>
  <si>
    <t>2. 本报价有效期为7天；施工进度在图纸、现场条件、材料计划及进场时间确认后另行排定。</t>
  </si>
  <si>
    <t>4. 安装单价含常规辅材；除非明细另有约定，不含风机控制箱至风机的电线电器、风机基础、抗震支架，以及洞口开凿和修复。</t>
  </si>
  <si>
    <t>5. 实际数量、厚度、型号、工艺及安装条件以双方确认的图纸、清单和现场复核结果为准。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</si>
</sst>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1">
    <font>
      <sz val="11"/>
      <name val="Carlito"/>
      <charset val="134"/>
    </font>
    <font>
      <sz val="9"/>
      <color rgb="FF2D3338"/>
      <name val="Microsoft YaHei"/>
      <charset val="134"/>
    </font>
    <font>
      <b/>
      <sz val="23"/>
      <color rgb="FF2D3338"/>
      <name val="Microsoft YaHei"/>
      <charset val="134"/>
    </font>
    <font>
      <b/>
      <sz val="9"/>
      <color rgb="FF2D3338"/>
      <name val="Microsoft YaHei"/>
      <charset val="134"/>
    </font>
    <font>
      <b/>
      <sz val="13"/>
      <color rgb="FF2D3338"/>
      <name val="Microsoft YaHei"/>
      <charset val="134"/>
    </font>
    <font>
      <sz val="9"/>
      <color rgb="FF697077"/>
      <name val="Microsoft YaHei"/>
      <charset val="134"/>
    </font>
    <font>
      <b/>
      <sz val="11"/>
      <color rgb="FF2D3338"/>
      <name val="Microsoft YaHei"/>
      <charset val="134"/>
    </font>
    <font>
      <b/>
      <sz val="10"/>
      <color rgb="FF2D3338"/>
      <name val="Microsoft YaHei"/>
      <charset val="134"/>
    </font>
    <font>
      <b/>
      <sz val="9.5"/>
      <color rgb="FF2D3338"/>
      <name val="Microsoft YaHei"/>
      <charset val="134"/>
    </font>
    <font>
      <b/>
      <sz val="12"/>
      <color rgb="FF2D3338"/>
      <name val="Microsoft YaHei"/>
      <charset val="134"/>
    </font>
    <font>
      <sz val="8.5"/>
      <color rgb="FF2D3338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8F9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D8DDE1"/>
      </left>
      <right style="thin">
        <color rgb="FFD8DDE1"/>
      </right>
      <top style="thin">
        <color rgb="FFD8DDE1"/>
      </top>
      <bottom style="thin">
        <color rgb="FFD8DDE1"/>
      </bottom>
      <diagonal/>
    </border>
    <border>
      <left/>
      <right/>
      <top/>
      <bottom style="medium">
        <color rgb="FF2D3338"/>
      </bottom>
      <diagonal/>
    </border>
    <border>
      <left style="thin">
        <color rgb="FFE7E9EB"/>
      </left>
      <right style="thin">
        <color rgb="FFE7E9EB"/>
      </right>
      <top style="thin">
        <color rgb="FFE7E9EB"/>
      </top>
      <bottom style="thin">
        <color rgb="FFE7E9EB"/>
      </bottom>
      <diagonal/>
    </border>
    <border>
      <left/>
      <right/>
      <top style="medium">
        <color rgb="FF2D3338"/>
      </top>
      <bottom style="medium">
        <color rgb="FF2D3338"/>
      </bottom>
      <diagonal/>
    </border>
    <border>
      <left style="thin">
        <color rgb="FFD8DDE1"/>
      </left>
      <right/>
      <top/>
      <bottom style="thin">
        <color rgb="FFE7E9EB"/>
      </bottom>
      <diagonal/>
    </border>
    <border>
      <left/>
      <right/>
      <top/>
      <bottom style="thin">
        <color rgb="FFE7E9EB"/>
      </bottom>
      <diagonal/>
    </border>
    <border>
      <left/>
      <right style="thin">
        <color rgb="FFD8DDE1"/>
      </right>
      <top/>
      <bottom style="thin">
        <color rgb="FFE7E9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9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2" borderId="0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center" vertical="center"/>
    </xf>
    <xf numFmtId="0" fontId="4" fillId="2" borderId="0" xfId="49" applyNumberFormat="1" applyFont="1" applyFill="1" applyBorder="1" applyAlignment="1">
      <alignment horizontal="center" vertical="center"/>
    </xf>
    <xf numFmtId="0" fontId="5" fillId="2" borderId="1" xfId="49" applyNumberFormat="1" applyFont="1" applyFill="1" applyBorder="1" applyAlignment="1">
      <alignment horizontal="left" vertical="center" wrapText="1"/>
    </xf>
    <xf numFmtId="0" fontId="1" fillId="2" borderId="1" xfId="49" applyNumberFormat="1" applyFont="1" applyFill="1" applyBorder="1" applyAlignment="1">
      <alignment horizontal="left" vertical="center" wrapText="1"/>
    </xf>
    <xf numFmtId="0" fontId="6" fillId="2" borderId="2" xfId="49" applyNumberFormat="1" applyFont="1" applyFill="1" applyBorder="1" applyAlignment="1">
      <alignment horizontal="left" vertical="center"/>
    </xf>
    <xf numFmtId="0" fontId="3" fillId="4" borderId="1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vertical="center" wrapText="1"/>
    </xf>
    <xf numFmtId="2" fontId="1" fillId="2" borderId="3" xfId="49" applyNumberFormat="1" applyFont="1" applyFill="1" applyBorder="1" applyAlignment="1">
      <alignment horizontal="center" vertical="center" wrapText="1"/>
    </xf>
    <xf numFmtId="4" fontId="1" fillId="2" borderId="3" xfId="49" applyNumberFormat="1" applyFont="1" applyFill="1" applyBorder="1" applyAlignment="1">
      <alignment horizontal="center" vertical="center" wrapText="1"/>
    </xf>
    <xf numFmtId="0" fontId="1" fillId="5" borderId="3" xfId="49" applyNumberFormat="1" applyFont="1" applyFill="1" applyBorder="1" applyAlignment="1">
      <alignment horizontal="center" vertical="center" wrapText="1"/>
    </xf>
    <xf numFmtId="0" fontId="1" fillId="5" borderId="3" xfId="49" applyNumberFormat="1" applyFont="1" applyFill="1" applyBorder="1" applyAlignment="1">
      <alignment vertical="center" wrapText="1"/>
    </xf>
    <xf numFmtId="2" fontId="1" fillId="5" borderId="3" xfId="49" applyNumberFormat="1" applyFont="1" applyFill="1" applyBorder="1" applyAlignment="1">
      <alignment horizontal="center" vertical="center" wrapText="1"/>
    </xf>
    <xf numFmtId="4" fontId="1" fillId="5" borderId="3" xfId="49" applyNumberFormat="1" applyFont="1" applyFill="1" applyBorder="1" applyAlignment="1">
      <alignment horizontal="center" vertical="center" wrapText="1"/>
    </xf>
    <xf numFmtId="0" fontId="7" fillId="3" borderId="1" xfId="49" applyNumberFormat="1" applyFont="1" applyFill="1" applyBorder="1" applyAlignment="1">
      <alignment horizontal="right" vertical="center"/>
    </xf>
    <xf numFmtId="0" fontId="8" fillId="3" borderId="1" xfId="49" applyNumberFormat="1" applyFont="1" applyFill="1" applyBorder="1" applyAlignment="1">
      <alignment horizontal="right" vertical="center"/>
    </xf>
    <xf numFmtId="0" fontId="9" fillId="2" borderId="4" xfId="49" applyNumberFormat="1" applyFont="1" applyFill="1" applyBorder="1" applyAlignment="1">
      <alignment horizontal="right" vertical="center"/>
    </xf>
    <xf numFmtId="0" fontId="3" fillId="3" borderId="1" xfId="49" applyNumberFormat="1" applyFont="1" applyFill="1" applyBorder="1" applyAlignment="1">
      <alignment horizontal="right" vertical="center"/>
    </xf>
    <xf numFmtId="0" fontId="3" fillId="3" borderId="1" xfId="49" applyNumberFormat="1" applyFont="1" applyFill="1" applyBorder="1" applyAlignment="1">
      <alignment horizontal="left" vertical="center"/>
    </xf>
    <xf numFmtId="0" fontId="10" fillId="2" borderId="5" xfId="49" applyNumberFormat="1" applyFont="1" applyFill="1" applyBorder="1" applyAlignment="1">
      <alignment horizontal="left" vertical="center" wrapText="1"/>
    </xf>
    <xf numFmtId="0" fontId="10" fillId="2" borderId="6" xfId="49" applyNumberFormat="1" applyFont="1" applyFill="1" applyBorder="1" applyAlignment="1">
      <alignment horizontal="left" vertical="center" wrapText="1"/>
    </xf>
    <xf numFmtId="0" fontId="1" fillId="2" borderId="1" xfId="49" applyNumberFormat="1" applyFont="1" applyFill="1" applyBorder="1" applyAlignment="1">
      <alignment horizontal="center" vertical="center"/>
    </xf>
    <xf numFmtId="176" fontId="1" fillId="2" borderId="1" xfId="49" applyNumberFormat="1" applyFont="1" applyFill="1" applyBorder="1" applyAlignment="1">
      <alignment horizontal="center" vertical="center"/>
    </xf>
    <xf numFmtId="4" fontId="1" fillId="2" borderId="3" xfId="49" applyNumberFormat="1" applyFont="1" applyFill="1" applyBorder="1" applyAlignment="1">
      <alignment horizontal="right" vertical="center" wrapText="1"/>
    </xf>
    <xf numFmtId="4" fontId="1" fillId="5" borderId="3" xfId="49" applyNumberFormat="1" applyFont="1" applyFill="1" applyBorder="1" applyAlignment="1">
      <alignment horizontal="right" vertical="center" wrapText="1"/>
    </xf>
    <xf numFmtId="4" fontId="8" fillId="3" borderId="1" xfId="49" applyNumberFormat="1" applyFont="1" applyFill="1" applyBorder="1" applyAlignment="1">
      <alignment horizontal="right" vertical="center"/>
    </xf>
    <xf numFmtId="4" fontId="9" fillId="2" borderId="4" xfId="49" applyNumberFormat="1" applyFont="1" applyFill="1" applyBorder="1" applyAlignment="1">
      <alignment horizontal="right" vertical="center"/>
    </xf>
    <xf numFmtId="0" fontId="10" fillId="2" borderId="7" xfId="49" applyNumberFormat="1" applyFont="1" applyFill="1" applyBorder="1" applyAlignment="1">
      <alignment horizontal="left" vertical="center" wrapText="1"/>
    </xf>
    <xf numFmtId="0" fontId="7" fillId="2" borderId="4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tabColor rgb="FFAEB4B9"/>
  </ns0:sheetPr>
  <ns0:dimension ref="A1:J24"/>
  <ns0:sheetViews>
    <ns0:sheetView showGridLines="0" topLeftCell="A5" workbookViewId="0">
      <ns0:selection activeCell="A16" sqref="A16:H16"/>
    </ns0:sheetView>
  </ns0:sheetViews>
  <ns0:sheetFormatPr defaultColWidth="9" defaultRowHeight="13.5"/>
  <ns0:cols>
    <ns0:col min="1" max="1" width="6" customWidth="1"/>
    <ns0:col min="2" max="2" width="18" customWidth="1"/>
    <ns0:col min="3" max="3" width="10" customWidth="1"/>
    <ns0:col min="4" max="4" width="20" customWidth="1"/>
    <ns0:col min="5" max="5" width="13" customWidth="1"/>
    <ns0:col min="6" max="6" width="8" customWidth="1"/>
    <ns0:col min="7" max="7" width="11" customWidth="1"/>
    <ns0:col min="8" max="8" width="14" customWidth="1"/>
    <ns0:col min="9" max="9" width="15" customWidth="1"/>
    <ns0:col min="10" max="10" width="25" customWidth="1"/>
  </ns0:cols>
  <ns0:sheetData>
    <ns0:row r="1" ht="33" customHeight="1" spans="1:10">
      <ns0:c r="A1" s="1"/>
      <ns0:c r="B1" s="1"/>
      <ns0:c r="C1" s="2" t="s">
        <ns0:v>0</ns0:v>
      </ns0:c>
      <ns0:c r="D1" s="2" t="s">
        <ns0:v>0</ns0:v>
      </ns0:c>
      <ns0:c r="E1" s="2" t="s">
        <ns0:v>0</ns0:v>
      </ns0:c>
      <ns0:c r="F1" s="2" t="s">
        <ns0:v>0</ns0:v>
      </ns0:c>
      <ns0:c r="G1" s="3" t="s">
        <ns0:v>1</ns0:v>
      </ns0:c>
      <ns0:c r="H1" s="24" t="s">
        <ns0:v>2</ns0:v>
      </ns0:c>
      <ns0:c r="I1" s="24" t="s">
        <ns0:v>2</ns0:v>
      </ns0:c>
      <ns0:c r="J1" s="24" t="s">
        <ns0:v>2</ns0:v>
      </ns0:c>
    </ns0:row>
    <ns0:row r="2" ht="33" customHeight="1" spans="1:10">
      <ns0:c r="A2" s="1"/>
      <ns0:c r="B2" s="1"/>
      <ns0:c r="C2" s="2" t="s">
        <ns0:v>0</ns0:v>
      </ns0:c>
      <ns0:c r="D2" s="2" t="s">
        <ns0:v>0</ns0:v>
      </ns0:c>
      <ns0:c r="E2" s="2" t="s">
        <ns0:v>0</ns0:v>
      </ns0:c>
      <ns0:c r="F2" s="2" t="s">
        <ns0:v>0</ns0:v>
      </ns0:c>
      <ns0:c r="G2" s="3" t="s">
        <ns0:v>3</ns0:v>
      </ns0:c>
      <ns0:c r="H2" s="25">
        <ns0:v>46287</ns0:v>
      </ns0:c>
      <ns0:c r="I2" s="25">
        <ns0:v>46287</ns0:v>
      </ns0:c>
      <ns0:c r="J2" s="25">
        <ns0:v>46287</ns0:v>
      </ns0:c>
    </ns0:row>
    <ns0:row r="3" ht="33" customHeight="1" spans="1:10">
      <ns0:c r="A3" s="1"/>
      <ns0:c r="B3" s="1"/>
      <ns0:c r="C3" s="4" t="s">
        <ns0:v>4</ns0:v>
      </ns0:c>
      <ns0:c r="D3" s="4" t="s">
        <ns0:v>4</ns0:v>
      </ns0:c>
      <ns0:c r="E3" s="4" t="s">
        <ns0:v>4</ns0:v>
      </ns0:c>
      <ns0:c r="F3" s="4" t="s">
        <ns0:v>4</ns0:v>
      </ns0:c>
      <ns0:c r="G3" s="3" t="s">
        <ns0:v>5</ns0:v>
      </ns0:c>
      <ns0:c r="H3" s="24" t="s">
        <ns0:v>6</ns0:v>
      </ns0:c>
      <ns0:c r="I3" s="24" t="s">
        <ns0:v>6</ns0:v>
      </ns0:c>
      <ns0:c r="J3" s="24" t="s">
        <ns0:v>6</ns0:v>
      </ns0:c>
    </ns0:row>
    <ns0:row r="4" ht="6" customHeight="1" spans="1:10">
      <ns0:c r="A4" s="1"/>
      <ns0:c r="B4" s="1"/>
      <ns0:c r="C4" s="1"/>
      <ns0:c r="D4" s="1"/>
      <ns0:c r="E4" s="1"/>
      <ns0:c r="F4" s="1"/>
      <ns0:c r="G4" s="1"/>
      <ns0:c r="H4" s="1"/>
      <ns0:c r="I4" s="1"/>
      <ns0:c r="J4" s="1"/>
    </ns0:row>
    <ns0:row r="5" ht="27" customHeight="1" spans="1:10">
      <ns0:c r="A5" s="3" t="s">
        <ns0:v>7</ns0:v>
      </ns0:c>
      <ns0:c r="B5" s="5" t="s">
        <ns0:v>8</ns0:v>
      </ns0:c>
      <ns0:c r="C5" s="5" t="s">
        <ns0:v>8</ns0:v>
      </ns0:c>
      <ns0:c r="D5" s="5" t="s">
        <ns0:v>8</ns0:v>
      </ns0:c>
      <ns0:c r="E5" s="3" t="s">
        <ns0:v>9</ns0:v>
      </ns0:c>
      <ns0:c r="F5" s="5" t="s">
        <ns0:v>10</ns0:v>
      </ns0:c>
      <ns0:c r="G5" s="5" t="s">
        <ns0:v>10</ns0:v>
      </ns0:c>
      <ns0:c r="H5" s="5" t="s">
        <ns0:v>10</ns0:v>
      </ns0:c>
      <ns0:c r="I5" s="5" t="s">
        <ns0:v>10</ns0:v>
      </ns0:c>
      <ns0:c r="J5" s="5" t="s">
        <ns0:v>10</ns0:v>
      </ns0:c>
    </ns0:row>
    <ns0:row r="6" ht="27" customHeight="1" spans="1:10">
      <ns0:c r="A6" s="3" t="s">
        <ns0:v>11</ns0:v>
      </ns0:c>
      <ns0:c r="B6" s="5" t="s">
        <ns0:v>12</ns0:v>
      </ns0:c>
      <ns0:c r="C6" s="5" t="s">
        <ns0:v>12</ns0:v>
      </ns0:c>
      <ns0:c r="D6" s="5" t="s">
        <ns0:v>12</ns0:v>
      </ns0:c>
      <ns0:c r="E6" s="3" t="s">
        <ns0:v>13</ns0:v>
      </ns0:c>
      <ns0:c r="F6" s="5" t="s">
        <ns0:v>14</ns0:v>
      </ns0:c>
      <ns0:c r="G6" s="5" t="s">
        <ns0:v>14</ns0:v>
      </ns0:c>
      <ns0:c r="H6" s="5" t="s">
        <ns0:v>14</ns0:v>
      </ns0:c>
      <ns0:c r="I6" s="5" t="s">
        <ns0:v>14</ns0:v>
      </ns0:c>
      <ns0:c r="J6" s="5" t="s">
        <ns0:v>14</ns0:v>
      </ns0:c>
    </ns0:row>
    <ns0:row r="7" ht="31" customHeight="1" spans="1:10">
      <ns0:c r="A7" s="3" t="s">
        <ns0:v>15</ns0:v>
      </ns0:c>
      <ns0:c r="B7" s="6" t="s">
        <ns0:v>16</ns0:v>
      </ns0:c>
      <ns0:c r="C7" s="6" t="s">
        <ns0:v>16</ns0:v>
      </ns0:c>
      <ns0:c r="D7" s="6" t="s">
        <ns0:v>16</ns0:v>
      </ns0:c>
      <ns0:c r="E7" s="3" t="s">
        <ns0:v>17</ns0:v>
      </ns0:c>
      <ns0:c r="F7" s="6" t="s">
        <ns0:v>18</ns0:v>
      </ns0:c>
      <ns0:c r="G7" s="6" t="s">
        <ns0:v>18</ns0:v>
      </ns0:c>
      <ns0:c r="H7" s="6" t="s">
        <ns0:v>18</ns0:v>
      </ns0:c>
      <ns0:c r="I7" s="6" t="s">
        <ns0:v>18</ns0:v>
      </ns0:c>
      <ns0:c r="J7" s="6" t="s">
        <ns0:v>18</ns0:v>
      </ns0:c>
    </ns0:row>
    <ns0:row r="8" ht="25" customHeight="1" spans="1:10">
      <ns0:c r="A8" s="7" t="s">
        <ns0:v>19</ns0:v>
      </ns0:c>
      <ns0:c r="B8" s="7" t="s">
        <ns0:v>19</ns0:v>
      </ns0:c>
      <ns0:c r="C8" s="7" t="s">
        <ns0:v>19</ns0:v>
      </ns0:c>
      <ns0:c r="D8" s="7" t="s">
        <ns0:v>19</ns0:v>
      </ns0:c>
      <ns0:c r="E8" s="7" t="s">
        <ns0:v>19</ns0:v>
      </ns0:c>
      <ns0:c r="F8" s="7" t="s">
        <ns0:v>19</ns0:v>
      </ns0:c>
      <ns0:c r="G8" s="7" t="s">
        <ns0:v>19</ns0:v>
      </ns0:c>
      <ns0:c r="H8" s="7" t="s">
        <ns0:v>19</ns0:v>
      </ns0:c>
      <ns0:c r="I8" s="7" t="s">
        <ns0:v>19</ns0:v>
      </ns0:c>
      <ns0:c r="J8" s="7" t="s">
        <ns0:v>19</ns0:v>
      </ns0:c>
    </ns0:row>
    <ns0:row r="9" ht="38" customHeight="1" spans="1:10">
      <ns0:c r="A9" s="8" t="s">
        <ns0:v>20</ns0:v>
      </ns0:c>
      <ns0:c r="B9" s="8" t="s">
        <ns0:v>21</ns0:v>
      </ns0:c>
      <ns0:c r="C9" s="8" t="s">
        <ns0:v>22</ns0:v>
      </ns0:c>
      <ns0:c r="D9" s="8" t="s">
        <ns0:v>23</ns0:v>
      </ns0:c>
      <ns0:c r="E9" s="8" t="s">
        <ns0:v>24</ns0:v>
      </ns0:c>
      <ns0:c r="F9" s="8" t="s">
        <ns0:v>25</ns0:v>
      </ns0:c>
      <ns0:c r="G9" s="8" t="s">
        <ns0:v>26</ns0:v>
      </ns0:c>
      <ns0:c r="H9" s="8" t="s">
        <ns0:v>27</ns0:v>
      </ns0:c>
      <ns0:c r="I9" s="8" t="s">
        <ns0:v>28</ns0:v>
      </ns0:c>
      <ns0:c r="J9" s="8" t="s">
        <ns0:v>29</ns0:v>
      </ns0:c>
    </ns0:row>
    <ns0:row r="10" ht="34" customHeight="1" spans="1:10">
      <ns0:c r="A10" s="9">
        <ns0:v>1</ns0:v>
      </ns0:c>
      <ns0:c r="B10" s="10" t="s">
        <ns0:v>30</ns0:v>
      </ns0:c>
      <ns0:c r="C10" s="11">
        <ns0:v>0.5</ns0:v>
      </ns0:c>
      <ns0:c r="D10" s="9" t="s">
        <ns0:v>31</ns0:v>
      </ns0:c>
      <ns0:c r="E10" s="9" t="s">
        <ns0:v>32</ns0:v>
      </ns0:c>
      <ns0:c r="F10" s="9" t="s">
        <ns0:v>33</ns0:v>
      </ns0:c>
      <ns0:c r="G10" s="12">
        <ns0:v>1000</ns0:v>
      </ns0:c>
      <ns0:c r="H10" s="12">
        <ns0:v>42.4</ns0:v>
      </ns0:c>
      <ns0:c r="I10" s="26">
        <ns0:f t="shared" ref="I10:I15" si="0">G10*H10</ns0:f>
        <ns0:v>42400</ns0:v>
      </ns0:c>
      <ns0:c r="J10" s="10" t="s">
        <ns0:v>34</ns0:v>
      </ns0:c>
    </ns0:row>
    <ns0:row r="11" ht="34" customHeight="1" spans="1:10">
      <ns0:c r="A11" s="13">
        <ns0:v>2</ns0:v>
      </ns0:c>
      <ns0:c r="B11" s="14" t="s">
        <ns0:v>30</ns0:v>
      </ns0:c>
      <ns0:c r="C11" s="15">
        <ns0:v>0.75</ns0:v>
      </ns0:c>
      <ns0:c r="D11" s="13" t="s">
        <ns0:v>35</ns0:v>
      </ns0:c>
      <ns0:c r="E11" s="13" t="s">
        <ns0:v>32</ns0:v>
      </ns0:c>
      <ns0:c r="F11" s="13" t="s">
        <ns0:v>33</ns0:v>
      </ns0:c>
      <ns0:c r="G11" s="16">
        <ns0:v>120</ns0:v>
      </ns0:c>
      <ns0:c r="H11" s="16">
        <ns0:v>49.6</ns0:v>
      </ns0:c>
      <ns0:c r="I11" s="27">
        <ns0:f t="shared" si="0"/>
        <ns0:v>5952</ns0:v>
      </ns0:c>
      <ns0:c r="J11" s="14" t="s">
        <ns0:v>36</ns0:v>
      </ns0:c>
    </ns0:row>
    <ns0:row r="12" ht="34" customHeight="1" spans="1:10">
      <ns0:c r="A12" s="9">
        <ns0:v>3</ns0:v>
      </ns0:c>
      <ns0:c r="B12" s="10" t="s">
        <ns0:v>30</ns0:v>
      </ns0:c>
      <ns0:c r="C12" s="11">
        <ns0:v>0.75</ns0:v>
      </ns0:c>
      <ns0:c r="D12" s="9" t="s">
        <ns0:v>37</ns0:v>
      </ns0:c>
      <ns0:c r="E12" s="9" t="s">
        <ns0:v>38</ns0:v>
      </ns0:c>
      <ns0:c r="F12" s="9" t="s">
        <ns0:v>33</ns0:v>
      </ns0:c>
      <ns0:c r="G12" s="12">
        <ns0:v>30</ns0:v>
      </ns0:c>
      <ns0:c r="H12" s="12">
        <ns0:v>55</ns0:v>
      </ns0:c>
      <ns0:c r="I12" s="26">
        <ns0:f t="shared" si="0"/>
        <ns0:v>1650</ns0:v>
      </ns0:c>
      <ns0:c r="J12" s="10" t="s">
        <ns0:v>36</ns0:v>
      </ns0:c>
    </ns0:row>
    <ns0:row r="13" ht="34" customHeight="1" spans="1:10">
      <ns0:c r="A13" s="13">
        <ns0:v>4</ns0:v>
      </ns0:c>
      <ns0:c r="B13" s="14" t="s">
        <ns0:v>30</ns0:v>
      </ns0:c>
      <ns0:c r="C13" s="15">
        <ns0:v>1</ns0:v>
      </ns0:c>
      <ns0:c r="D13" s="13" t="s">
        <ns0:v>39</ns0:v>
      </ns0:c>
      <ns0:c r="E13" s="13" t="s">
        <ns0:v>40</ns0:v>
      </ns0:c>
      <ns0:c r="F13" s="13" t="s">
        <ns0:v>33</ns0:v>
      </ns0:c>
      <ns0:c r="G13" s="16">
        <ns0:v>80</ns0:v>
      </ns0:c>
      <ns0:c r="H13" s="16">
        <ns0:v>75</ns0:v>
      </ns0:c>
      <ns0:c r="I13" s="27">
        <ns0:f t="shared" si="0"/>
        <ns0:v>6000</ns0:v>
      </ns0:c>
      <ns0:c r="J13" s="14" t="s">
        <ns0:v>36</ns0:v>
      </ns0:c>
    </ns0:row>
    <ns0:row r="14" ht="34" customHeight="1" spans="1:10">
      <ns0:c r="A14" s="9">
        <ns0:v>5</ns0:v>
      </ns0:c>
      <ns0:c r="B14" s="10" t="s">
        <ns0:v>41</ns0:v>
      </ns0:c>
      <ns0:c r="C14" s="11">
        <ns0:v>1</ns0:v>
      </ns0:c>
      <ns0:c r="D14" s="9" t="s">
        <ns0:v>42</ns0:v>
      </ns0:c>
      <ns0:c r="E14" s="9" t="s">
        <ns0:v>43</ns0:v>
      </ns0:c>
      <ns0:c r="F14" s="9" t="s">
        <ns0:v>44</ns0:v>
      </ns0:c>
      <ns0:c r="G14" s="12">
        <ns0:v>400</ns0:v>
      </ns0:c>
      <ns0:c r="H14" s="12">
        <ns0:v>0.3</ns0:v>
      </ns0:c>
      <ns0:c r="I14" s="26">
        <ns0:f t="shared" si="0"/>
        <ns0:v>120</ns0:v>
      </ns0:c>
      <ns0:c r="J14" s="10" t="s">
        <ns0:v>36</ns0:v>
      </ns0:c>
    </ns0:row>
    <ns0:row r="15" ht="34" customHeight="1" spans="1:10">
      <ns0:c r="A15" s="13">
        <ns0:v>6</ns0:v>
      </ns0:c>
      <ns0:c r="B15" s="14" t="s">
        <ns0:v>45</ns0:v>
      </ns0:c>
      <ns0:c r="C15" s="15" t="s">
        <ns0:v>46</ns0:v>
      </ns0:c>
      <ns0:c r="D15" s="13" t="s">
        <ns0:v>42</ns0:v>
      </ns0:c>
      <ns0:c r="E15" s="13" t="s">
        <ns0:v>43</ns0:v>
      </ns0:c>
      <ns0:c r="F15" s="13" t="s">
        <ns0:v>47</ns0:v>
      </ns0:c>
      <ns0:c r="G15" s="16">
        <ns0:v>100</ns0:v>
      </ns0:c>
      <ns0:c r="H15" s="16">
        <ns0:v>3.2</ns0:v>
      </ns0:c>
      <ns0:c r="I15" s="27">
        <ns0:f t="shared" si="0"/>
        <ns0:v>320</ns0:v>
      </ns0:c>
      <ns0:c r="J15" s="14" t="s">
        <ns0:v>36</ns0:v>
      </ns0:c>
    </ns0:row>
    <ns0:row r="16" ht="34" customHeight="1" spans="1:10">
      <ns0:c r="A16" s="31" t="s">
        <ns0:v>48</ns0:v>
      </ns0:c>
      <ns0:c r="B16" s="19"/>
      <ns0:c r="C16" s="19"/>
      <ns0:c r="D16" s="19"/>
      <ns0:c r="E16" s="19"/>
      <ns0:c r="F16" s="19"/>
      <ns0:c r="G16" s="19"/>
      <ns0:c r="H16" s="19" t="s">
        <ns0:v>48</ns0:v>
      </ns0:c>
      <ns0:c r="I16" s="29"/>
      <ns0:c r="J16" s="29"/>
    </ns0:row>
    <ns0:row r="17" ht="31" customHeight="1" spans="1:10">
      <ns0:c r="A17" s="19" t="s">
        <ns0:v>49</ns0:v>
      </ns0:c>
      <ns0:c r="B17" s="19" t="s">
        <ns0:v>49</ns0:v>
      </ns0:c>
      <ns0:c r="C17" s="19" t="s">
        <ns0:v>49</ns0:v>
      </ns0:c>
      <ns0:c r="D17" s="19" t="s">
        <ns0:v>49</ns0:v>
      </ns0:c>
      <ns0:c r="E17" s="19" t="s">
        <ns0:v>49</ns0:v>
      </ns0:c>
      <ns0:c r="F17" s="19" t="s">
        <ns0:v>49</ns0:v>
      </ns0:c>
      <ns0:c r="G17" s="19" t="s">
        <ns0:v>49</ns0:v>
      </ns0:c>
      <ns0:c r="H17" s="19" t="s">
        <ns0:v>49</ns0:v>
      </ns0:c>
      <ns0:c r="I17" s="29">
        <ns0:f>SUM(I10:I15)</ns0:f>
        <ns0:v>56442</ns0:v>
      </ns0:c>
      <ns0:c r="J17" s="29"/>
    </ns0:row>
    <ns0:row r="18" ht="28" customHeight="1" spans="1:10">
      <ns0:c r="A18" s="20" t="s">
        <ns0:v>50</ns0:v>
      </ns0:c>
      <ns0:c r="B18" s="20" t="s">
        <ns0:v>50</ns0:v>
      </ns0:c>
      <ns0:c r="C18" s="20" t="s">
        <ns0:v>50</ns0:v>
      </ns0:c>
      <ns0:c r="D18" s="21" t="s">
        <ns0:v>51</ns0:v>
      </ns0:c>
      <ns0:c r="E18" s="21" t="s">
        <ns0:v>51</ns0:v>
      </ns0:c>
      <ns0:c r="F18" s="21" t="s">
        <ns0:v>51</ns0:v>
      </ns0:c>
      <ns0:c r="G18" s="21" t="s">
        <ns0:v>51</ns0:v>
      </ns0:c>
      <ns0:c r="H18" s="21" t="s">
        <ns0:v>51</ns0:v>
      </ns0:c>
      <ns0:c r="I18" s="21" t="s">
        <ns0:v>51</ns0:v>
      </ns0:c>
      <ns0:c r="J18" s="21" t="s">
        <ns0:v>51</ns0:v>
      </ns0:c>
    </ns0:row>
    <ns0:row r="19" ht="25" customHeight="1" spans="1:10">
      <ns0:c r="A19" s="7" t="s">
        <ns0:v>52</ns0:v>
      </ns0:c>
      <ns0:c r="B19" s="7" t="s">
        <ns0:v>52</ns0:v>
      </ns0:c>
      <ns0:c r="C19" s="7" t="s">
        <ns0:v>52</ns0:v>
      </ns0:c>
      <ns0:c r="D19" s="7" t="s">
        <ns0:v>52</ns0:v>
      </ns0:c>
      <ns0:c r="E19" s="7" t="s">
        <ns0:v>52</ns0:v>
      </ns0:c>
      <ns0:c r="F19" s="7" t="s">
        <ns0:v>52</ns0:v>
      </ns0:c>
      <ns0:c r="G19" s="7" t="s">
        <ns0:v>52</ns0:v>
      </ns0:c>
      <ns0:c r="H19" s="7" t="s">
        <ns0:v>52</ns0:v>
      </ns0:c>
      <ns0:c r="I19" s="7" t="s">
        <ns0:v>52</ns0:v>
      </ns0:c>
      <ns0:c r="J19" s="7" t="s">
        <ns0:v>52</ns0:v>
      </ns0:c>
    </ns0:row>
    <ns0:row r="20" ht="31" customHeight="1" spans="1:10">
      <ns0:c r="A20" s="22" t="s">
        <ns0:v>53</ns0:v>
      </ns0:c>
      <ns0:c r="B20" s="23" t="s">
        <ns0:v>53</ns0:v>
      </ns0:c>
      <ns0:c r="C20" s="23" t="s">
        <ns0:v>53</ns0:v>
      </ns0:c>
      <ns0:c r="D20" s="23" t="s">
        <ns0:v>53</ns0:v>
      </ns0:c>
      <ns0:c r="E20" s="23" t="s">
        <ns0:v>53</ns0:v>
      </ns0:c>
      <ns0:c r="F20" s="23" t="s">
        <ns0:v>53</ns0:v>
      </ns0:c>
      <ns0:c r="G20" s="23" t="s">
        <ns0:v>53</ns0:v>
      </ns0:c>
      <ns0:c r="H20" s="23" t="s">
        <ns0:v>53</ns0:v>
      </ns0:c>
      <ns0:c r="I20" s="23" t="s">
        <ns0:v>53</ns0:v>
      </ns0:c>
      <ns0:c r="J20" s="30" t="s">
        <ns0:v>53</ns0:v>
      </ns0:c>
    </ns0:row>
    <ns0:row r="21" ht="31" customHeight="1" spans="1:10">
      <ns0:c r="A21" s="22" t="s">
        <ns0:v>54</ns0:v>
      </ns0:c>
      <ns0:c r="B21" s="23" t="s">
        <ns0:v>54</ns0:v>
      </ns0:c>
      <ns0:c r="C21" s="23" t="s">
        <ns0:v>54</ns0:v>
      </ns0:c>
      <ns0:c r="D21" s="23" t="s">
        <ns0:v>54</ns0:v>
      </ns0:c>
      <ns0:c r="E21" s="23" t="s">
        <ns0:v>54</ns0:v>
      </ns0:c>
      <ns0:c r="F21" s="23" t="s">
        <ns0:v>54</ns0:v>
      </ns0:c>
      <ns0:c r="G21" s="23" t="s">
        <ns0:v>54</ns0:v>
      </ns0:c>
      <ns0:c r="H21" s="23" t="s">
        <ns0:v>54</ns0:v>
      </ns0:c>
      <ns0:c r="I21" s="23" t="s">
        <ns0:v>54</ns0:v>
      </ns0:c>
      <ns0:c r="J21" s="30" t="s">
        <ns0:v>54</ns0:v>
      </ns0:c>
    </ns0:row>
    <ns0:row r="22" ht="31" customHeight="1" spans="1:10">
      <ns0:c r="A22" s="22" t="s">
        <ns0:v>55</ns0:v>
      </ns0:c>
      <ns0:c r="B22" s="23" t="s">
        <ns0:v>55</ns0:v>
      </ns0:c>
      <ns0:c r="C22" s="23" t="s">
        <ns0:v>55</ns0:v>
      </ns0:c>
      <ns0:c r="D22" s="23" t="s">
        <ns0:v>55</ns0:v>
      </ns0:c>
      <ns0:c r="E22" s="23" t="s">
        <ns0:v>55</ns0:v>
      </ns0:c>
      <ns0:c r="F22" s="23" t="s">
        <ns0:v>55</ns0:v>
      </ns0:c>
      <ns0:c r="G22" s="23" t="s">
        <ns0:v>55</ns0:v>
      </ns0:c>
      <ns0:c r="H22" s="23" t="s">
        <ns0:v>55</ns0:v>
      </ns0:c>
      <ns0:c r="I22" s="23" t="s">
        <ns0:v>55</ns0:v>
      </ns0:c>
      <ns0:c r="J22" s="30" t="s">
        <ns0:v>55</ns0:v>
      </ns0:c>
    </ns0:row>
    <ns0:row r="23" ht="45" customHeight="1" spans="1:10">
      <ns0:c r="A23" s="22" t="s">
        <ns0:v>56</ns0:v>
      </ns0:c>
      <ns0:c r="B23" s="23" t="s">
        <ns0:v>56</ns0:v>
      </ns0:c>
      <ns0:c r="C23" s="23" t="s">
        <ns0:v>56</ns0:v>
      </ns0:c>
      <ns0:c r="D23" s="23" t="s">
        <ns0:v>56</ns0:v>
      </ns0:c>
      <ns0:c r="E23" s="23" t="s">
        <ns0:v>56</ns0:v>
      </ns0:c>
      <ns0:c r="F23" s="23" t="s">
        <ns0:v>56</ns0:v>
      </ns0:c>
      <ns0:c r="G23" s="23" t="s">
        <ns0:v>56</ns0:v>
      </ns0:c>
      <ns0:c r="H23" s="23" t="s">
        <ns0:v>56</ns0:v>
      </ns0:c>
      <ns0:c r="I23" s="23" t="s">
        <ns0:v>56</ns0:v>
      </ns0:c>
      <ns0:c r="J23" s="30" t="s">
        <ns0:v>56</ns0:v>
      </ns0:c>
    </ns0:row>
    <ns0:row r="24" ht="31" customHeight="1" spans="1:10">
      <ns0:c r="A24" s="22" t="s">
        <ns0:v>57</ns0:v>
      </ns0:c>
      <ns0:c r="B24" s="23" t="s">
        <ns0:v>57</ns0:v>
      </ns0:c>
      <ns0:c r="C24" s="23" t="s">
        <ns0:v>57</ns0:v>
      </ns0:c>
      <ns0:c r="D24" s="23" t="s">
        <ns0:v>57</ns0:v>
      </ns0:c>
      <ns0:c r="E24" s="23" t="s">
        <ns0:v>57</ns0:v>
      </ns0:c>
      <ns0:c r="F24" s="23" t="s">
        <ns0:v>57</ns0:v>
      </ns0:c>
      <ns0:c r="G24" s="23" t="s">
        <ns0:v>57</ns0:v>
      </ns0:c>
      <ns0:c r="H24" s="23" t="s">
        <ns0:v>57</ns0:v>
      </ns0:c>
      <ns0:c r="I24" s="23" t="s">
        <ns0:v>57</ns0:v>
      </ns0:c>
      <ns0:c r="J24" s="30" t="s">
        <ns0:v>57</ns0:v>
      </ns0:c>
    </ns0:row>
  </ns0:sheetData>
  <ns0:mergeCells count="25">
    <ns0:mergeCell ref="H1:J1"/>
    <ns0:mergeCell ref="H2:J2"/>
    <ns0:mergeCell ref="C3:F3"/>
    <ns0:mergeCell ref="H3:J3"/>
    <ns0:mergeCell ref="B5:D5"/>
    <ns0:mergeCell ref="F5:J5"/>
    <ns0:mergeCell ref="B6:D6"/>
    <ns0:mergeCell ref="F6:J6"/>
    <ns0:mergeCell ref="B7:D7"/>
    <ns0:mergeCell ref="F7:J7"/>
    <ns0:mergeCell ref="A8:J8"/>
    <ns0:mergeCell ref="A16:H16"/>
    <ns0:mergeCell ref="I16:J16"/>
    <ns0:mergeCell ref="A17:H17"/>
    <ns0:mergeCell ref="I17:J17"/>
    <ns0:mergeCell ref="A18:C18"/>
    <ns0:mergeCell ref="D18:J18"/>
    <ns0:mergeCell ref="A19:J19"/>
    <ns0:mergeCell ref="A20:J20"/>
    <ns0:mergeCell ref="A21:J21"/>
    <ns0:mergeCell ref="A22:J22"/>
    <ns0:mergeCell ref="A23:J23"/>
    <ns0:mergeCell ref="A24:J24"/>
    <ns0:mergeCell ref="A1:B3"/>
    <ns0:mergeCell ref="C1:F2"/>
  </ns0:mergeCells>
  <ns0:pageMargins left="0.7" right="0.7" top="0.75" bottom="0.75" header="0.3" footer="0.3"/>
  <ns0:headerFooter/>
</ns0:worksheet>
</file>

<file path=xl/worksheets/sheet2.xml><?xml version="1.0" encoding="utf-8"?>
<ns0:worksheet xmlns:ns0="http://schemas.openxmlformats.org/spreadsheetml/2006/main">
  <ns0:sheetPr>
    <ns0:tabColor rgb="FFAEB4B9"/>
  </ns0:sheetPr>
  <ns0:dimension ref="A1:L25"/>
  <ns0:sheetViews>
    <ns0:sheetView showGridLines="0" tabSelected="1" topLeftCell="A8" workbookViewId="0">
      <ns0:selection activeCell="A16" sqref="A16:J16"/>
    </ns0:sheetView>
  </ns0:sheetViews>
  <ns0:sheetFormatPr defaultColWidth="9" defaultRowHeight="13.5"/>
  <ns0:cols>
    <ns0:col min="1" max="1" width="6" customWidth="1"/>
    <ns0:col min="2" max="2" width="16.5" customWidth="1"/>
    <ns0:col min="3" max="3" width="10.5" customWidth="1"/>
    <ns0:col min="4" max="4" width="17.5" customWidth="1"/>
    <ns0:col min="5" max="5" width="12" customWidth="1"/>
    <ns0:col min="6" max="6" width="8" customWidth="1"/>
    <ns0:col min="7" max="7" width="10" customWidth="1"/>
    <ns0:col min="8" max="8" width="13" customWidth="1"/>
    <ns0:col min="9" max="9" width="14" customWidth="1"/>
    <ns0:col min="10" max="10" width="13" customWidth="1"/>
    <ns0:col min="11" max="11" width="14" customWidth="1"/>
    <ns0:col min="12" max="12" width="23" customWidth="1"/>
  </ns0:cols>
  <ns0:sheetData>
    <ns0:row r="1" ht="33" customHeight="1" spans="1:12">
      <ns0:c r="A1" s="1"/>
      <ns0:c r="B1" s="1"/>
      <ns0:c r="C1" s="2" t="s">
        <ns0:v>58</ns0:v>
      </ns0:c>
      <ns0:c r="D1" s="2" t="s">
        <ns0:v>58</ns0:v>
      </ns0:c>
      <ns0:c r="E1" s="2" t="s">
        <ns0:v>58</ns0:v>
      </ns0:c>
      <ns0:c r="F1" s="2" t="s">
        <ns0:v>58</ns0:v>
      </ns0:c>
      <ns0:c r="G1" s="2" t="s">
        <ns0:v>58</ns0:v>
      </ns0:c>
      <ns0:c r="H1" s="3" t="s">
        <ns0:v>1</ns0:v>
      </ns0:c>
      <ns0:c r="I1" s="24" t="s">
        <ns0:v>2</ns0:v>
      </ns0:c>
      <ns0:c r="J1" s="24" t="s">
        <ns0:v>2</ns0:v>
      </ns0:c>
      <ns0:c r="K1" s="24" t="s">
        <ns0:v>2</ns0:v>
      </ns0:c>
      <ns0:c r="L1" s="24" t="s">
        <ns0:v>2</ns0:v>
      </ns0:c>
    </ns0:row>
    <ns0:row r="2" ht="33" customHeight="1" spans="1:12">
      <ns0:c r="A2" s="1"/>
      <ns0:c r="B2" s="1"/>
      <ns0:c r="C2" s="2" t="s">
        <ns0:v>58</ns0:v>
      </ns0:c>
      <ns0:c r="D2" s="2" t="s">
        <ns0:v>58</ns0:v>
      </ns0:c>
      <ns0:c r="E2" s="2" t="s">
        <ns0:v>58</ns0:v>
      </ns0:c>
      <ns0:c r="F2" s="2" t="s">
        <ns0:v>58</ns0:v>
      </ns0:c>
      <ns0:c r="G2" s="2" t="s">
        <ns0:v>58</ns0:v>
      </ns0:c>
      <ns0:c r="H2" s="3" t="s">
        <ns0:v>3</ns0:v>
      </ns0:c>
      <ns0:c r="I2" s="25">
        <ns0:v>46287</ns0:v>
      </ns0:c>
      <ns0:c r="J2" s="25">
        <ns0:v>46287</ns0:v>
      </ns0:c>
      <ns0:c r="K2" s="25">
        <ns0:v>46287</ns0:v>
      </ns0:c>
      <ns0:c r="L2" s="25">
        <ns0:v>46287</ns0:v>
      </ns0:c>
    </ns0:row>
    <ns0:row r="3" ht="33" customHeight="1" spans="1:12">
      <ns0:c r="A3" s="1"/>
      <ns0:c r="B3" s="1"/>
      <ns0:c r="C3" s="4" t="s">
        <ns0:v>4</ns0:v>
      </ns0:c>
      <ns0:c r="D3" s="4" t="s">
        <ns0:v>4</ns0:v>
      </ns0:c>
      <ns0:c r="E3" s="4" t="s">
        <ns0:v>4</ns0:v>
      </ns0:c>
      <ns0:c r="F3" s="4" t="s">
        <ns0:v>4</ns0:v>
      </ns0:c>
      <ns0:c r="G3" s="4" t="s">
        <ns0:v>4</ns0:v>
      </ns0:c>
      <ns0:c r="H3" s="3" t="s">
        <ns0:v>5</ns0:v>
      </ns0:c>
      <ns0:c r="I3" s="24" t="s">
        <ns0:v>6</ns0:v>
      </ns0:c>
      <ns0:c r="J3" s="24" t="s">
        <ns0:v>6</ns0:v>
      </ns0:c>
      <ns0:c r="K3" s="24" t="s">
        <ns0:v>6</ns0:v>
      </ns0:c>
      <ns0:c r="L3" s="24" t="s">
        <ns0:v>6</ns0:v>
      </ns0:c>
    </ns0:row>
    <ns0:row r="4" ht="6" customHeight="1" spans="1:12">
      <ns0:c r="A4" s="1"/>
      <ns0:c r="B4" s="1"/>
      <ns0:c r="C4" s="1"/>
      <ns0:c r="D4" s="1"/>
      <ns0:c r="E4" s="1"/>
      <ns0:c r="F4" s="1"/>
      <ns0:c r="G4" s="1"/>
      <ns0:c r="H4" s="1"/>
      <ns0:c r="I4" s="1"/>
      <ns0:c r="J4" s="1"/>
      <ns0:c r="K4" s="1"/>
      <ns0:c r="L4" s="1"/>
    </ns0:row>
    <ns0:row r="5" ht="27" customHeight="1" spans="1:12">
      <ns0:c r="A5" s="3" t="s">
        <ns0:v>7</ns0:v>
      </ns0:c>
      <ns0:c r="B5" s="5" t="s">
        <ns0:v>8</ns0:v>
      </ns0:c>
      <ns0:c r="C5" s="5" t="s">
        <ns0:v>8</ns0:v>
      </ns0:c>
      <ns0:c r="D5" s="5" t="s">
        <ns0:v>8</ns0:v>
      </ns0:c>
      <ns0:c r="E5" s="5" t="s">
        <ns0:v>8</ns0:v>
      </ns0:c>
      <ns0:c r="F5" s="3" t="s">
        <ns0:v>9</ns0:v>
      </ns0:c>
      <ns0:c r="G5" s="5" t="s">
        <ns0:v>10</ns0:v>
      </ns0:c>
      <ns0:c r="H5" s="5" t="s">
        <ns0:v>10</ns0:v>
      </ns0:c>
      <ns0:c r="I5" s="5" t="s">
        <ns0:v>10</ns0:v>
      </ns0:c>
      <ns0:c r="J5" s="5" t="s">
        <ns0:v>10</ns0:v>
      </ns0:c>
      <ns0:c r="K5" s="5" t="s">
        <ns0:v>10</ns0:v>
      </ns0:c>
      <ns0:c r="L5" s="5" t="s">
        <ns0:v>10</ns0:v>
      </ns0:c>
    </ns0:row>
    <ns0:row r="6" ht="27" customHeight="1" spans="1:12">
      <ns0:c r="A6" s="3" t="s">
        <ns0:v>11</ns0:v>
      </ns0:c>
      <ns0:c r="B6" s="5" t="s">
        <ns0:v>12</ns0:v>
      </ns0:c>
      <ns0:c r="C6" s="5" t="s">
        <ns0:v>12</ns0:v>
      </ns0:c>
      <ns0:c r="D6" s="5" t="s">
        <ns0:v>12</ns0:v>
      </ns0:c>
      <ns0:c r="E6" s="5" t="s">
        <ns0:v>12</ns0:v>
      </ns0:c>
      <ns0:c r="F6" s="3" t="s">
        <ns0:v>13</ns0:v>
      </ns0:c>
      <ns0:c r="G6" s="5" t="s">
        <ns0:v>14</ns0:v>
      </ns0:c>
      <ns0:c r="H6" s="5" t="s">
        <ns0:v>14</ns0:v>
      </ns0:c>
      <ns0:c r="I6" s="5" t="s">
        <ns0:v>14</ns0:v>
      </ns0:c>
      <ns0:c r="J6" s="5" t="s">
        <ns0:v>14</ns0:v>
      </ns0:c>
      <ns0:c r="K6" s="5" t="s">
        <ns0:v>14</ns0:v>
      </ns0:c>
      <ns0:c r="L6" s="5" t="s">
        <ns0:v>14</ns0:v>
      </ns0:c>
    </ns0:row>
    <ns0:row r="7" ht="31" customHeight="1" spans="1:12">
      <ns0:c r="A7" s="3" t="s">
        <ns0:v>15</ns0:v>
      </ns0:c>
      <ns0:c r="B7" s="6" t="s">
        <ns0:v>59</ns0:v>
      </ns0:c>
      <ns0:c r="C7" s="6" t="s">
        <ns0:v>59</ns0:v>
      </ns0:c>
      <ns0:c r="D7" s="6" t="s">
        <ns0:v>59</ns0:v>
      </ns0:c>
      <ns0:c r="E7" s="6" t="s">
        <ns0:v>59</ns0:v>
      </ns0:c>
      <ns0:c r="F7" s="3" t="s">
        <ns0:v>17</ns0:v>
      </ns0:c>
      <ns0:c r="G7" s="6" t="s">
        <ns0:v>18</ns0:v>
      </ns0:c>
      <ns0:c r="H7" s="6" t="s">
        <ns0:v>18</ns0:v>
      </ns0:c>
      <ns0:c r="I7" s="6" t="s">
        <ns0:v>18</ns0:v>
      </ns0:c>
      <ns0:c r="J7" s="6" t="s">
        <ns0:v>18</ns0:v>
      </ns0:c>
      <ns0:c r="K7" s="6" t="s">
        <ns0:v>18</ns0:v>
      </ns0:c>
      <ns0:c r="L7" s="6" t="s">
        <ns0:v>18</ns0:v>
      </ns0:c>
    </ns0:row>
    <ns0:row r="8" ht="25" customHeight="1" spans="1:12">
      <ns0:c r="A8" s="7" t="s">
        <ns0:v>19</ns0:v>
      </ns0:c>
      <ns0:c r="B8" s="7" t="s">
        <ns0:v>19</ns0:v>
      </ns0:c>
      <ns0:c r="C8" s="7" t="s">
        <ns0:v>19</ns0:v>
      </ns0:c>
      <ns0:c r="D8" s="7" t="s">
        <ns0:v>19</ns0:v>
      </ns0:c>
      <ns0:c r="E8" s="7" t="s">
        <ns0:v>19</ns0:v>
      </ns0:c>
      <ns0:c r="F8" s="7" t="s">
        <ns0:v>19</ns0:v>
      </ns0:c>
      <ns0:c r="G8" s="7" t="s">
        <ns0:v>19</ns0:v>
      </ns0:c>
      <ns0:c r="H8" s="7" t="s">
        <ns0:v>19</ns0:v>
      </ns0:c>
      <ns0:c r="I8" s="7" t="s">
        <ns0:v>19</ns0:v>
      </ns0:c>
      <ns0:c r="J8" s="7" t="s">
        <ns0:v>19</ns0:v>
      </ns0:c>
      <ns0:c r="K8" s="7" t="s">
        <ns0:v>19</ns0:v>
      </ns0:c>
      <ns0:c r="L8" s="7" t="s">
        <ns0:v>19</ns0:v>
      </ns0:c>
    </ns0:row>
    <ns0:row r="9" ht="42" customHeight="1" spans="1:12">
      <ns0:c r="A9" s="8" t="s">
        <ns0:v>20</ns0:v>
      </ns0:c>
      <ns0:c r="B9" s="8" t="s">
        <ns0:v>21</ns0:v>
      </ns0:c>
      <ns0:c r="C9" s="8" t="s">
        <ns0:v>22</ns0:v>
      </ns0:c>
      <ns0:c r="D9" s="8" t="s">
        <ns0:v>23</ns0:v>
      </ns0:c>
      <ns0:c r="E9" s="8" t="s">
        <ns0:v>24</ns0:v>
      </ns0:c>
      <ns0:c r="F9" s="8" t="s">
        <ns0:v>25</ns0:v>
      </ns0:c>
      <ns0:c r="G9" s="8" t="s">
        <ns0:v>26</ns0:v>
      </ns0:c>
      <ns0:c r="H9" s="8" t="s">
        <ns0:v>27</ns0:v>
      </ns0:c>
      <ns0:c r="I9" s="8" t="s">
        <ns0:v>28</ns0:v>
      </ns0:c>
      <ns0:c r="J9" s="8" t="s">
        <ns0:v>60</ns0:v>
      </ns0:c>
      <ns0:c r="K9" s="8" t="s">
        <ns0:v>61</ns0:v>
      </ns0:c>
      <ns0:c r="L9" s="8" t="s">
        <ns0:v>29</ns0:v>
      </ns0:c>
    </ns0:row>
    <ns0:row r="10" ht="34" customHeight="1" spans="1:12">
      <ns0:c r="A10" s="9">
        <ns0:v>1</ns0:v>
      </ns0:c>
      <ns0:c r="B10" s="10" t="s">
        <ns0:v>30</ns0:v>
      </ns0:c>
      <ns0:c r="C10" s="11">
        <ns0:v>0.5</ns0:v>
      </ns0:c>
      <ns0:c r="D10" s="9" t="s">
        <ns0:v>31</ns0:v>
      </ns0:c>
      <ns0:c r="E10" s="9" t="s">
        <ns0:v>32</ns0:v>
      </ns0:c>
      <ns0:c r="F10" s="9" t="s">
        <ns0:v>33</ns0:v>
      </ns0:c>
      <ns0:c r="G10" s="12">
        <ns0:v>1000</ns0:v>
      </ns0:c>
      <ns0:c r="H10" s="12">
        <ns0:v>42.4</ns0:v>
      </ns0:c>
      <ns0:c r="I10" s="26">
        <ns0:f t="shared" ref="I10:I15" si="0">G10*H10</ns0:f>
        <ns0:v>42400</ns0:v>
      </ns0:c>
      <ns0:c r="J10" s="12">
        <ns0:v>20.8</ns0:v>
      </ns0:c>
      <ns0:c r="K10" s="26">
        <ns0:f t="shared" ref="K10:K15" si="1">G10*J10</ns0:f>
        <ns0:v>20800</ns0:v>
      </ns0:c>
      <ns0:c r="L10" s="10" t="s">
        <ns0:v>34</ns0:v>
      </ns0:c>
    </ns0:row>
    <ns0:row r="11" ht="34" customHeight="1" spans="1:12">
      <ns0:c r="A11" s="13">
        <ns0:v>2</ns0:v>
      </ns0:c>
      <ns0:c r="B11" s="14" t="s">
        <ns0:v>30</ns0:v>
      </ns0:c>
      <ns0:c r="C11" s="15">
        <ns0:v>0.75</ns0:v>
      </ns0:c>
      <ns0:c r="D11" s="13" t="s">
        <ns0:v>35</ns0:v>
      </ns0:c>
      <ns0:c r="E11" s="13" t="s">
        <ns0:v>32</ns0:v>
      </ns0:c>
      <ns0:c r="F11" s="13" t="s">
        <ns0:v>33</ns0:v>
      </ns0:c>
      <ns0:c r="G11" s="16">
        <ns0:v>120</ns0:v>
      </ns0:c>
      <ns0:c r="H11" s="16">
        <ns0:v>49.6</ns0:v>
      </ns0:c>
      <ns0:c r="I11" s="27">
        <ns0:f t="shared" si="0"/>
        <ns0:v>5952</ns0:v>
      </ns0:c>
      <ns0:c r="J11" s="16">
        <ns0:v>23</ns0:v>
      </ns0:c>
      <ns0:c r="K11" s="27">
        <ns0:f t="shared" si="1"/>
        <ns0:v>2760</ns0:v>
      </ns0:c>
      <ns0:c r="L11" s="14" t="s">
        <ns0:v>36</ns0:v>
      </ns0:c>
    </ns0:row>
    <ns0:row r="12" ht="34" customHeight="1" spans="1:12">
      <ns0:c r="A12" s="9">
        <ns0:v>3</ns0:v>
      </ns0:c>
      <ns0:c r="B12" s="10" t="s">
        <ns0:v>30</ns0:v>
      </ns0:c>
      <ns0:c r="C12" s="11">
        <ns0:v>0.75</ns0:v>
      </ns0:c>
      <ns0:c r="D12" s="9" t="s">
        <ns0:v>37</ns0:v>
      </ns0:c>
      <ns0:c r="E12" s="9" t="s">
        <ns0:v>38</ns0:v>
      </ns0:c>
      <ns0:c r="F12" s="9" t="s">
        <ns0:v>33</ns0:v>
      </ns0:c>
      <ns0:c r="G12" s="12">
        <ns0:v>30</ns0:v>
      </ns0:c>
      <ns0:c r="H12" s="12">
        <ns0:v>55</ns0:v>
      </ns0:c>
      <ns0:c r="I12" s="26">
        <ns0:f t="shared" si="0"/>
        <ns0:v>1650</ns0:v>
      </ns0:c>
      <ns0:c r="J12" s="12">
        <ns0:v>26</ns0:v>
      </ns0:c>
      <ns0:c r="K12" s="26">
        <ns0:f t="shared" si="1"/>
        <ns0:v>780</ns0:v>
      </ns0:c>
      <ns0:c r="L12" s="10" t="s">
        <ns0:v>36</ns0:v>
      </ns0:c>
    </ns0:row>
    <ns0:row r="13" ht="34" customHeight="1" spans="1:12">
      <ns0:c r="A13" s="13">
        <ns0:v>4</ns0:v>
      </ns0:c>
      <ns0:c r="B13" s="14" t="s">
        <ns0:v>30</ns0:v>
      </ns0:c>
      <ns0:c r="C13" s="15">
        <ns0:v>1</ns0:v>
      </ns0:c>
      <ns0:c r="D13" s="13" t="s">
        <ns0:v>39</ns0:v>
      </ns0:c>
      <ns0:c r="E13" s="13" t="s">
        <ns0:v>40</ns0:v>
      </ns0:c>
      <ns0:c r="F13" s="13" t="s">
        <ns0:v>33</ns0:v>
      </ns0:c>
      <ns0:c r="G13" s="16">
        <ns0:v>80</ns0:v>
      </ns0:c>
      <ns0:c r="H13" s="16">
        <ns0:v>75</ns0:v>
      </ns0:c>
      <ns0:c r="I13" s="27">
        <ns0:f t="shared" si="0"/>
        <ns0:v>6000</ns0:v>
      </ns0:c>
      <ns0:c r="J13" s="16">
        <ns0:v>32</ns0:v>
      </ns0:c>
      <ns0:c r="K13" s="27">
        <ns0:f t="shared" si="1"/>
        <ns0:v>2560</ns0:v>
      </ns0:c>
      <ns0:c r="L13" s="14" t="s">
        <ns0:v>36</ns0:v>
      </ns0:c>
    </ns0:row>
    <ns0:row r="14" ht="34" customHeight="1" spans="1:12">
      <ns0:c r="A14" s="9">
        <ns0:v>5</ns0:v>
      </ns0:c>
      <ns0:c r="B14" s="10" t="s">
        <ns0:v>41</ns0:v>
      </ns0:c>
      <ns0:c r="C14" s="11">
        <ns0:v>1</ns0:v>
      </ns0:c>
      <ns0:c r="D14" s="9" t="s">
        <ns0:v>42</ns0:v>
      </ns0:c>
      <ns0:c r="E14" s="9" t="s">
        <ns0:v>43</ns0:v>
      </ns0:c>
      <ns0:c r="F14" s="9" t="s">
        <ns0:v>44</ns0:v>
      </ns0:c>
      <ns0:c r="G14" s="12">
        <ns0:v>400</ns0:v>
      </ns0:c>
      <ns0:c r="H14" s="12">
        <ns0:v>0.3</ns0:v>
      </ns0:c>
      <ns0:c r="I14" s="26">
        <ns0:f t="shared" si="0"/>
        <ns0:v>120</ns0:v>
      </ns0:c>
      <ns0:c r="J14" s="12">
        <ns0:v>0</ns0:v>
      </ns0:c>
      <ns0:c r="K14" s="26">
        <ns0:f t="shared" si="1"/>
        <ns0:v>0</ns0:v>
      </ns0:c>
      <ns0:c r="L14" s="10" t="s">
        <ns0:v>36</ns0:v>
      </ns0:c>
    </ns0:row>
    <ns0:row r="15" ht="34" customHeight="1" spans="1:12">
      <ns0:c r="A15" s="13">
        <ns0:v>6</ns0:v>
      </ns0:c>
      <ns0:c r="B15" s="14" t="s">
        <ns0:v>45</ns0:v>
      </ns0:c>
      <ns0:c r="C15" s="15" t="s">
        <ns0:v>46</ns0:v>
      </ns0:c>
      <ns0:c r="D15" s="13" t="s">
        <ns0:v>42</ns0:v>
      </ns0:c>
      <ns0:c r="E15" s="13" t="s">
        <ns0:v>43</ns0:v>
      </ns0:c>
      <ns0:c r="F15" s="13" t="s">
        <ns0:v>47</ns0:v>
      </ns0:c>
      <ns0:c r="G15" s="16">
        <ns0:v>100</ns0:v>
      </ns0:c>
      <ns0:c r="H15" s="16">
        <ns0:v>3.2</ns0:v>
      </ns0:c>
      <ns0:c r="I15" s="27">
        <ns0:f t="shared" si="0"/>
        <ns0:v>320</ns0:v>
      </ns0:c>
      <ns0:c r="J15" s="16">
        <ns0:v>0</ns0:v>
      </ns0:c>
      <ns0:c r="K15" s="27">
        <ns0:f t="shared" si="1"/>
        <ns0:v>0</ns0:v>
      </ns0:c>
      <ns0:c r="L15" s="14" t="s">
        <ns0:v>36</ns0:v>
      </ns0:c>
    </ns0:row>
    <ns0:row r="16" ht="28" customHeight="1" spans="1:12">
      <ns0:c r="A16" s="17" t="s">
        <ns0:v>48</ns0:v>
      </ns0:c>
      <ns0:c r="B16" s="18"/>
      <ns0:c r="C16" s="18"/>
      <ns0:c r="D16" s="18"/>
      <ns0:c r="E16" s="18"/>
      <ns0:c r="F16" s="18"/>
      <ns0:c r="G16" s="18"/>
      <ns0:c r="H16" s="18"/>
      <ns0:c r="I16" s="18"/>
      <ns0:c r="J16" s="18"/>
      <ns0:c r="K16" s="28"/>
      <ns0:c r="L16" s="28"/>
    </ns0:row>
    <ns0:row r="17" ht="27" customHeight="1" spans="1:12">
      <ns0:c r="A17" s="17" t="s">
        <ns0:v>62</ns0:v>
      </ns0:c>
      <ns0:c r="B17" s="18" t="s">
        <ns0:v>62</ns0:v>
      </ns0:c>
      <ns0:c r="C17" s="18" t="s">
        <ns0:v>62</ns0:v>
      </ns0:c>
      <ns0:c r="D17" s="18" t="s">
        <ns0:v>62</ns0:v>
      </ns0:c>
      <ns0:c r="E17" s="18" t="s">
        <ns0:v>62</ns0:v>
      </ns0:c>
      <ns0:c r="F17" s="18" t="s">
        <ns0:v>62</ns0:v>
      </ns0:c>
      <ns0:c r="G17" s="18" t="s">
        <ns0:v>62</ns0:v>
      </ns0:c>
      <ns0:c r="H17" s="18" t="s">
        <ns0:v>62</ns0:v>
      </ns0:c>
      <ns0:c r="I17" s="18" t="s">
        <ns0:v>62</ns0:v>
      </ns0:c>
      <ns0:c r="J17" s="18" t="s">
        <ns0:v>62</ns0:v>
      </ns0:c>
      <ns0:c r="K17" s="28">
        <ns0:f>SUM(K10:K15)</ns0:f>
        <ns0:v>26900</ns0:v>
      </ns0:c>
      <ns0:c r="L17" s="28"/>
    </ns0:row>
    <ns0:row r="18" ht="31" customHeight="1" spans="1:12">
      <ns0:c r="A18" s="19" t="s">
        <ns0:v>49</ns0:v>
      </ns0:c>
      <ns0:c r="B18" s="19" t="s">
        <ns0:v>49</ns0:v>
      </ns0:c>
      <ns0:c r="C18" s="19" t="s">
        <ns0:v>49</ns0:v>
      </ns0:c>
      <ns0:c r="D18" s="19" t="s">
        <ns0:v>49</ns0:v>
      </ns0:c>
      <ns0:c r="E18" s="19" t="s">
        <ns0:v>49</ns0:v>
      </ns0:c>
      <ns0:c r="F18" s="19" t="s">
        <ns0:v>49</ns0:v>
      </ns0:c>
      <ns0:c r="G18" s="19" t="s">
        <ns0:v>49</ns0:v>
      </ns0:c>
      <ns0:c r="H18" s="19" t="s">
        <ns0:v>49</ns0:v>
      </ns0:c>
      <ns0:c r="I18" s="19" t="s">
        <ns0:v>49</ns0:v>
      </ns0:c>
      <ns0:c r="J18" s="19" t="s">
        <ns0:v>49</ns0:v>
      </ns0:c>
      <ns0:c r="K18" s="29">
        <ns0:f>SUM(I10:I15)+K17</ns0:f>
        <ns0:v>83342</ns0:v>
      </ns0:c>
      <ns0:c r="L18" s="29"/>
    </ns0:row>
    <ns0:row r="19" ht="28" customHeight="1" spans="1:12">
      <ns0:c r="A19" s="20" t="s">
        <ns0:v>50</ns0:v>
      </ns0:c>
      <ns0:c r="B19" s="20" t="s">
        <ns0:v>50</ns0:v>
      </ns0:c>
      <ns0:c r="C19" s="20" t="s">
        <ns0:v>50</ns0:v>
      </ns0:c>
      <ns0:c r="D19" s="21" t="s">
        <ns0:v>51</ns0:v>
      </ns0:c>
      <ns0:c r="E19" s="21" t="s">
        <ns0:v>51</ns0:v>
      </ns0:c>
      <ns0:c r="F19" s="21" t="s">
        <ns0:v>51</ns0:v>
      </ns0:c>
      <ns0:c r="G19" s="21" t="s">
        <ns0:v>51</ns0:v>
      </ns0:c>
      <ns0:c r="H19" s="21" t="s">
        <ns0:v>51</ns0:v>
      </ns0:c>
      <ns0:c r="I19" s="21" t="s">
        <ns0:v>51</ns0:v>
      </ns0:c>
      <ns0:c r="J19" s="21" t="s">
        <ns0:v>51</ns0:v>
      </ns0:c>
      <ns0:c r="K19" s="21" t="s">
        <ns0:v>51</ns0:v>
      </ns0:c>
      <ns0:c r="L19" s="21" t="s">
        <ns0:v>51</ns0:v>
      </ns0:c>
    </ns0:row>
    <ns0:row r="20" ht="25" customHeight="1" spans="1:12">
      <ns0:c r="A20" s="7" t="s">
        <ns0:v>52</ns0:v>
      </ns0:c>
      <ns0:c r="B20" s="7" t="s">
        <ns0:v>52</ns0:v>
      </ns0:c>
      <ns0:c r="C20" s="7" t="s">
        <ns0:v>52</ns0:v>
      </ns0:c>
      <ns0:c r="D20" s="7" t="s">
        <ns0:v>52</ns0:v>
      </ns0:c>
      <ns0:c r="E20" s="7" t="s">
        <ns0:v>52</ns0:v>
      </ns0:c>
      <ns0:c r="F20" s="7" t="s">
        <ns0:v>52</ns0:v>
      </ns0:c>
      <ns0:c r="G20" s="7" t="s">
        <ns0:v>52</ns0:v>
      </ns0:c>
      <ns0:c r="H20" s="7" t="s">
        <ns0:v>52</ns0:v>
      </ns0:c>
      <ns0:c r="I20" s="7" t="s">
        <ns0:v>52</ns0:v>
      </ns0:c>
      <ns0:c r="J20" s="7" t="s">
        <ns0:v>52</ns0:v>
      </ns0:c>
      <ns0:c r="K20" s="7" t="s">
        <ns0:v>52</ns0:v>
      </ns0:c>
      <ns0:c r="L20" s="7" t="s">
        <ns0:v>52</ns0:v>
      </ns0:c>
    </ns0:row>
    <ns0:row r="21" ht="31" customHeight="1" spans="1:12">
      <ns0:c r="A21" s="22" t="s">
        <ns0:v>63</ns0:v>
      </ns0:c>
      <ns0:c r="B21" s="23" t="s">
        <ns0:v>63</ns0:v>
      </ns0:c>
      <ns0:c r="C21" s="23" t="s">
        <ns0:v>63</ns0:v>
      </ns0:c>
      <ns0:c r="D21" s="23" t="s">
        <ns0:v>63</ns0:v>
      </ns0:c>
      <ns0:c r="E21" s="23" t="s">
        <ns0:v>63</ns0:v>
      </ns0:c>
      <ns0:c r="F21" s="23" t="s">
        <ns0:v>63</ns0:v>
      </ns0:c>
      <ns0:c r="G21" s="23" t="s">
        <ns0:v>63</ns0:v>
      </ns0:c>
      <ns0:c r="H21" s="23" t="s">
        <ns0:v>63</ns0:v>
      </ns0:c>
      <ns0:c r="I21" s="23" t="s">
        <ns0:v>63</ns0:v>
      </ns0:c>
      <ns0:c r="J21" s="23" t="s">
        <ns0:v>63</ns0:v>
      </ns0:c>
      <ns0:c r="K21" s="23" t="s">
        <ns0:v>63</ns0:v>
      </ns0:c>
      <ns0:c r="L21" s="30" t="s">
        <ns0:v>63</ns0:v>
      </ns0:c>
    </ns0:row>
    <ns0:row r="22" ht="31" customHeight="1" spans="1:12">
      <ns0:c r="A22" s="22" t="s">
        <ns0:v>64</ns0:v>
      </ns0:c>
      <ns0:c r="B22" s="23" t="s">
        <ns0:v>64</ns0:v>
      </ns0:c>
      <ns0:c r="C22" s="23" t="s">
        <ns0:v>64</ns0:v>
      </ns0:c>
      <ns0:c r="D22" s="23" t="s">
        <ns0:v>64</ns0:v>
      </ns0:c>
      <ns0:c r="E22" s="23" t="s">
        <ns0:v>64</ns0:v>
      </ns0:c>
      <ns0:c r="F22" s="23" t="s">
        <ns0:v>64</ns0:v>
      </ns0:c>
      <ns0:c r="G22" s="23" t="s">
        <ns0:v>64</ns0:v>
      </ns0:c>
      <ns0:c r="H22" s="23" t="s">
        <ns0:v>64</ns0:v>
      </ns0:c>
      <ns0:c r="I22" s="23" t="s">
        <ns0:v>64</ns0:v>
      </ns0:c>
      <ns0:c r="J22" s="23" t="s">
        <ns0:v>64</ns0:v>
      </ns0:c>
      <ns0:c r="K22" s="23" t="s">
        <ns0:v>64</ns0:v>
      </ns0:c>
      <ns0:c r="L22" s="30" t="s">
        <ns0:v>64</ns0:v>
      </ns0:c>
    </ns0:row>
    <ns0:row r="23" ht="31" customHeight="1" spans="1:12">
      <ns0:c r="A23" s="22" t="s">
        <ns0:v>55</ns0:v>
      </ns0:c>
      <ns0:c r="B23" s="23" t="s">
        <ns0:v>55</ns0:v>
      </ns0:c>
      <ns0:c r="C23" s="23" t="s">
        <ns0:v>55</ns0:v>
      </ns0:c>
      <ns0:c r="D23" s="23" t="s">
        <ns0:v>55</ns0:v>
      </ns0:c>
      <ns0:c r="E23" s="23" t="s">
        <ns0:v>55</ns0:v>
      </ns0:c>
      <ns0:c r="F23" s="23" t="s">
        <ns0:v>55</ns0:v>
      </ns0:c>
      <ns0:c r="G23" s="23" t="s">
        <ns0:v>55</ns0:v>
      </ns0:c>
      <ns0:c r="H23" s="23" t="s">
        <ns0:v>55</ns0:v>
      </ns0:c>
      <ns0:c r="I23" s="23" t="s">
        <ns0:v>55</ns0:v>
      </ns0:c>
      <ns0:c r="J23" s="23" t="s">
        <ns0:v>55</ns0:v>
      </ns0:c>
      <ns0:c r="K23" s="23" t="s">
        <ns0:v>55</ns0:v>
      </ns0:c>
      <ns0:c r="L23" s="30" t="s">
        <ns0:v>55</ns0:v>
      </ns0:c>
    </ns0:row>
    <ns0:row r="24" ht="45" customHeight="1" spans="1:12">
      <ns0:c r="A24" s="22" t="s">
        <ns0:v>65</ns0:v>
      </ns0:c>
      <ns0:c r="B24" s="23" t="s">
        <ns0:v>65</ns0:v>
      </ns0:c>
      <ns0:c r="C24" s="23" t="s">
        <ns0:v>65</ns0:v>
      </ns0:c>
      <ns0:c r="D24" s="23" t="s">
        <ns0:v>65</ns0:v>
      </ns0:c>
      <ns0:c r="E24" s="23" t="s">
        <ns0:v>65</ns0:v>
      </ns0:c>
      <ns0:c r="F24" s="23" t="s">
        <ns0:v>65</ns0:v>
      </ns0:c>
      <ns0:c r="G24" s="23" t="s">
        <ns0:v>65</ns0:v>
      </ns0:c>
      <ns0:c r="H24" s="23" t="s">
        <ns0:v>65</ns0:v>
      </ns0:c>
      <ns0:c r="I24" s="23" t="s">
        <ns0:v>65</ns0:v>
      </ns0:c>
      <ns0:c r="J24" s="23" t="s">
        <ns0:v>65</ns0:v>
      </ns0:c>
      <ns0:c r="K24" s="23" t="s">
        <ns0:v>65</ns0:v>
      </ns0:c>
      <ns0:c r="L24" s="30" t="s">
        <ns0:v>65</ns0:v>
      </ns0:c>
    </ns0:row>
    <ns0:row r="25" ht="36" customHeight="1" spans="1:12">
      <ns0:c r="A25" s="22" t="s">
        <ns0:v>66</ns0:v>
      </ns0:c>
      <ns0:c r="B25" s="23" t="s">
        <ns0:v>66</ns0:v>
      </ns0:c>
      <ns0:c r="C25" s="23" t="s">
        <ns0:v>66</ns0:v>
      </ns0:c>
      <ns0:c r="D25" s="23" t="s">
        <ns0:v>66</ns0:v>
      </ns0:c>
      <ns0:c r="E25" s="23" t="s">
        <ns0:v>66</ns0:v>
      </ns0:c>
      <ns0:c r="F25" s="23" t="s">
        <ns0:v>66</ns0:v>
      </ns0:c>
      <ns0:c r="G25" s="23" t="s">
        <ns0:v>66</ns0:v>
      </ns0:c>
      <ns0:c r="H25" s="23" t="s">
        <ns0:v>66</ns0:v>
      </ns0:c>
      <ns0:c r="I25" s="23" t="s">
        <ns0:v>66</ns0:v>
      </ns0:c>
      <ns0:c r="J25" s="23" t="s">
        <ns0:v>66</ns0:v>
      </ns0:c>
      <ns0:c r="K25" s="23" t="s">
        <ns0:v>66</ns0:v>
      </ns0:c>
      <ns0:c r="L25" s="30" t="s">
        <ns0:v>66</ns0:v>
      </ns0:c>
    </ns0:row>
  </ns0:sheetData>
  <ns0:mergeCells count="27">
    <ns0:mergeCell ref="I1:L1"/>
    <ns0:mergeCell ref="I2:L2"/>
    <ns0:mergeCell ref="C3:G3"/>
    <ns0:mergeCell ref="I3:L3"/>
    <ns0:mergeCell ref="B5:E5"/>
    <ns0:mergeCell ref="G5:L5"/>
    <ns0:mergeCell ref="B6:E6"/>
    <ns0:mergeCell ref="G6:L6"/>
    <ns0:mergeCell ref="B7:E7"/>
    <ns0:mergeCell ref="G7:L7"/>
    <ns0:mergeCell ref="A8:L8"/>
    <ns0:mergeCell ref="A16:J16"/>
    <ns0:mergeCell ref="K16:L16"/>
    <ns0:mergeCell ref="A17:J17"/>
    <ns0:mergeCell ref="K17:L17"/>
    <ns0:mergeCell ref="A18:J18"/>
    <ns0:mergeCell ref="K18:L18"/>
    <ns0:mergeCell ref="A19:C19"/>
    <ns0:mergeCell ref="D19:L19"/>
    <ns0:mergeCell ref="A20:L20"/>
    <ns0:mergeCell ref="A21:L21"/>
    <ns0:mergeCell ref="A22:L22"/>
    <ns0:mergeCell ref="A23:L23"/>
    <ns0:mergeCell ref="A24:L24"/>
    <ns0:mergeCell ref="A25:L25"/>
    <ns0:mergeCell ref="A1:B3"/>
    <ns0:mergeCell ref="C1:G2"/>
  </ns0:mergeCells>
  <ns0:pageMargins left="0.7" right="0.7" top="0.75" bottom="0.75" header="0.3" footer="0.3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单层材料</vt:lpstr>
      <vt:lpstr>带安装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HONOR</cp:lastModifiedBy>
  <dcterms:created xsi:type="dcterms:W3CDTF">2026-09-28T01:47:01Z</dcterms:created>
  <dcterms:modified xsi:type="dcterms:W3CDTF">2026-09-28T04:33:34Z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DEAA2331855046F6AD2626D17A0C58C7_12</vt:lpwstr>
  </property>
</Properties>
</file>